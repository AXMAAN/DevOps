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/>
  <workbookPr filterPrivacy="1"/>
  <xr:revisionPtr revIDLastSave="0" documentId="8_{125E26B4-6891-4FED-B2C7-9E27C8A232B1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EXPENSE REPORT" sheetId="1" r:id="rId1"/>
  </sheets>
  <definedNames>
    <definedName name="Advances">'EXPENSE REPORT'!$L$22</definedName>
    <definedName name="ColumnTitle1">ExpenseData[[#Headers],[Date]]</definedName>
    <definedName name="_xlnm.Print_Titles" localSheetId="0">'EXPENSE REPORT'!$8:$8</definedName>
    <definedName name="Subtotal">'EXPENSE REPORT'!$L$21</definedName>
    <definedName name="valHighlight">IFERROR(IF(#REF!="Yes", TRUE, FALSE),FALSE)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9" i="1" l="1"/>
  <c r="L10" i="1"/>
  <c r="L11" i="1"/>
  <c r="L12" i="1"/>
  <c r="L13" i="1"/>
  <c r="L14" i="1"/>
  <c r="L15" i="1"/>
  <c r="L16" i="1"/>
  <c r="L17" i="1"/>
  <c r="L18" i="1"/>
  <c r="L19" i="1"/>
  <c r="L3" i="1"/>
  <c r="J3" i="1"/>
  <c r="E20" i="1"/>
  <c r="F20" i="1"/>
  <c r="G20" i="1"/>
  <c r="H20" i="1"/>
  <c r="I20" i="1"/>
  <c r="J20" i="1"/>
  <c r="K20" i="1"/>
  <c r="L20" i="1" l="1"/>
  <c r="L21" i="1" s="1"/>
  <c r="L23" i="1" s="1"/>
</calcChain>
</file>

<file path=xl/sharedStrings.xml><?xml version="1.0" encoding="utf-8"?>
<sst xmlns="http://schemas.openxmlformats.org/spreadsheetml/2006/main" count="29" uniqueCount="28">
  <si>
    <t>Date</t>
  </si>
  <si>
    <t>Account</t>
  </si>
  <si>
    <t>Description</t>
  </si>
  <si>
    <t>Hotel</t>
  </si>
  <si>
    <t>Transport</t>
  </si>
  <si>
    <t>Fuel</t>
  </si>
  <si>
    <t>Meals</t>
  </si>
  <si>
    <t>Phone</t>
  </si>
  <si>
    <t>Entertainment</t>
  </si>
  <si>
    <t>Misc.</t>
  </si>
  <si>
    <t>Total</t>
  </si>
  <si>
    <t>SSN</t>
  </si>
  <si>
    <t>SUBTOTAL</t>
  </si>
  <si>
    <t>ADVANCES</t>
  </si>
  <si>
    <t>TOTAL</t>
  </si>
  <si>
    <t>Name</t>
  </si>
  <si>
    <t>Employee Information:</t>
  </si>
  <si>
    <t>Purpose:</t>
  </si>
  <si>
    <t>Statement Number:</t>
  </si>
  <si>
    <t>Pay Period</t>
  </si>
  <si>
    <t>from:</t>
  </si>
  <si>
    <t>to:</t>
  </si>
  <si>
    <t>Department</t>
  </si>
  <si>
    <t>Manager</t>
  </si>
  <si>
    <t>Position</t>
  </si>
  <si>
    <t>Employee ID</t>
  </si>
  <si>
    <t>Approved:</t>
  </si>
  <si>
    <t xml:space="preserve">Notes: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</si>
</sst>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7" formatCode="&quot;$&quot;#,##0.00_);\(&quot;$&quot;#,##0.00\)"/>
    <numFmt numFmtId="42" formatCode="_(&quot;$&quot;* #,##0_);_(&quot;$&quot;* \(#,##0\);_(&quot;$&quot;* &quot;-&quot;_);_(@_)"/>
    <numFmt numFmtId="41" formatCode="_(* #,##0_);_(* \(#,##0\);_(* &quot;-&quot;_);_(@_)"/>
    <numFmt numFmtId="43" formatCode="_(* #,##0.00_);_(* \(#,##0.00\);_(* &quot;-&quot;??_);_(@_)"/>
    <numFmt numFmtId="164" formatCode="&quot;$&quot;#,##0.00"/>
  </numFmts>
  <fonts count="16" x14ac:knownFonts="1">
    <font>
      <sz val="11"/>
      <color theme="1" tint="0.24994659260841701"/>
      <name val="Franklin Gothic Book"/>
      <family val="2"/>
      <scheme val="minor"/>
    </font>
    <font>
      <sz val="10"/>
      <name val="Tahoma"/>
      <family val="2"/>
    </font>
    <font>
      <sz val="24"/>
      <color theme="4" tint="-0.499984740745262"/>
      <name val="Constantia"/>
      <family val="2"/>
      <scheme val="major"/>
    </font>
    <font>
      <b/>
      <sz val="11"/>
      <color theme="1"/>
      <name val="Franklin Gothic Book"/>
      <family val="2"/>
      <scheme val="minor"/>
    </font>
    <font>
      <b/>
      <sz val="11"/>
      <color theme="4" tint="-0.499984740745262"/>
      <name val="Constantia"/>
      <family val="2"/>
      <scheme val="major"/>
    </font>
    <font>
      <sz val="11"/>
      <color theme="1" tint="0.24994659260841701"/>
      <name val="Constantia"/>
      <family val="2"/>
      <scheme val="major"/>
    </font>
    <font>
      <sz val="11"/>
      <color theme="1" tint="0.24994659260841701"/>
      <name val="Franklin Gothic Book"/>
      <family val="2"/>
      <scheme val="minor"/>
    </font>
    <font>
      <i/>
      <u/>
      <sz val="9"/>
      <color theme="1" tint="4.9989318521683403E-2"/>
      <name val="Constantia"/>
      <family val="2"/>
      <scheme val="major"/>
    </font>
    <font>
      <b/>
      <sz val="12"/>
      <color theme="4" tint="-0.499984740745262"/>
      <name val="Constantia"/>
      <family val="2"/>
      <scheme val="major"/>
    </font>
    <font>
      <b/>
      <sz val="11"/>
      <color theme="3"/>
      <name val="Franklin Gothic Book"/>
      <family val="2"/>
      <scheme val="minor"/>
    </font>
    <font>
      <sz val="11"/>
      <color theme="3"/>
      <name val="Franklin Gothic Book"/>
      <family val="2"/>
      <scheme val="minor"/>
    </font>
    <font>
      <b/>
      <sz val="11"/>
      <color theme="3"/>
      <name val="Constantia"/>
      <family val="2"/>
      <scheme val="major"/>
    </font>
    <font>
      <sz val="11"/>
      <name val="Constantia"/>
      <family val="2"/>
      <scheme val="major"/>
    </font>
    <font>
      <sz val="9"/>
      <color theme="3"/>
      <name val="Constantia"/>
      <family val="2"/>
      <charset val="238"/>
      <scheme val="major"/>
    </font>
    <font>
      <b/>
      <sz val="11"/>
      <color theme="0"/>
      <name val="Franklin Gothic Book"/>
      <family val="2"/>
      <scheme val="minor"/>
    </font>
    <font>
      <b/>
      <sz val="11"/>
      <color theme="1" tint="0.24994659260841701"/>
      <name val="Constantia"/>
      <family val="1"/>
      <scheme val="maj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7999816888943144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theme="1" tint="0.34998626667073579"/>
      </bottom>
      <diagonal/>
    </border>
    <border>
      <left/>
      <right style="thin">
        <color theme="4"/>
      </right>
      <top/>
      <bottom/>
      <diagonal/>
    </border>
    <border>
      <left style="thin">
        <color theme="4"/>
      </left>
      <right style="thin">
        <color theme="4"/>
      </right>
      <top style="double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/>
      <bottom style="medium">
        <color theme="3"/>
      </bottom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</borders>
  <cellStyleXfs count="18">
    <xf numFmtId="0" fontId="0" fillId="0" borderId="0"/>
    <xf numFmtId="0" fontId="8" fillId="0" borderId="0" applyFill="0" applyProtection="0"/>
    <xf numFmtId="0" fontId="4" fillId="0" borderId="0" applyFill="0" applyProtection="0">
      <alignment horizontal="right" vertical="center" wrapText="1"/>
    </xf>
    <xf numFmtId="0" fontId="5" fillId="0" borderId="0" applyFill="0" applyProtection="0">
      <alignment horizontal="right" vertical="center" indent="1"/>
    </xf>
    <xf numFmtId="0" fontId="7" fillId="0" borderId="0" applyProtection="0">
      <alignment vertical="top"/>
    </xf>
    <xf numFmtId="43" fontId="6" fillId="0" borderId="0" applyFill="0" applyBorder="0" applyAlignment="0" applyProtection="0"/>
    <xf numFmtId="41" fontId="6" fillId="0" borderId="0" applyFill="0" applyBorder="0" applyAlignment="0" applyProtection="0"/>
    <xf numFmtId="7" fontId="6" fillId="0" borderId="0" applyFont="0" applyFill="0" applyBorder="0" applyProtection="0">
      <alignment vertical="center"/>
    </xf>
    <xf numFmtId="42" fontId="6" fillId="0" borderId="0" applyFill="0" applyBorder="0" applyAlignment="0" applyProtection="0"/>
    <xf numFmtId="9" fontId="6" fillId="0" borderId="0" applyFill="0" applyBorder="0" applyAlignment="0" applyProtection="0"/>
    <xf numFmtId="164" fontId="3" fillId="2" borderId="3">
      <alignment horizontal="center"/>
    </xf>
    <xf numFmtId="0" fontId="6" fillId="0" borderId="1">
      <alignment horizontal="left" vertical="center" wrapText="1"/>
    </xf>
    <xf numFmtId="0" fontId="6" fillId="0" borderId="0">
      <alignment vertical="center"/>
    </xf>
    <xf numFmtId="14" fontId="6" fillId="0" borderId="0">
      <alignment horizontal="left" vertical="center"/>
    </xf>
    <xf numFmtId="0" fontId="6" fillId="0" borderId="0">
      <alignment vertical="center" wrapText="1"/>
    </xf>
    <xf numFmtId="7" fontId="3" fillId="2" borderId="4">
      <alignment horizontal="center"/>
    </xf>
    <xf numFmtId="7" fontId="3" fillId="0" borderId="2">
      <alignment horizontal="center"/>
    </xf>
    <xf numFmtId="0" fontId="2" fillId="0" borderId="0" applyProtection="0">
      <alignment vertical="top"/>
    </xf>
  </cellStyleXfs>
  <cellXfs count="25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Border="1" applyAlignment="1">
      <alignment horizontal="center"/>
    </xf>
    <xf numFmtId="0" fontId="5" fillId="0" borderId="0" xfId="3">
      <alignment horizontal="right" vertical="center" indent="1"/>
    </xf>
    <xf numFmtId="14" fontId="6" fillId="0" borderId="0" xfId="13">
      <alignment horizontal="left" vertical="center"/>
    </xf>
    <xf numFmtId="0" fontId="6" fillId="0" borderId="0" xfId="14">
      <alignment vertical="center" wrapText="1"/>
    </xf>
    <xf numFmtId="7" fontId="6" fillId="0" borderId="0" xfId="7">
      <alignment vertical="center"/>
    </xf>
    <xf numFmtId="7" fontId="9" fillId="0" borderId="2" xfId="16" applyFont="1" applyAlignment="1">
      <alignment horizontal="right" vertical="center" indent="1"/>
    </xf>
    <xf numFmtId="0" fontId="11" fillId="0" borderId="0" xfId="1" applyFont="1"/>
    <xf numFmtId="0" fontId="11" fillId="0" borderId="0" xfId="2" applyFont="1">
      <alignment horizontal="right" vertical="center" wrapText="1"/>
    </xf>
    <xf numFmtId="0" fontId="11" fillId="0" borderId="0" xfId="2" applyFont="1" applyAlignment="1">
      <alignment horizontal="right"/>
    </xf>
    <xf numFmtId="0" fontId="2" fillId="0" borderId="0" xfId="17" applyFill="1">
      <alignment vertical="top"/>
    </xf>
    <xf numFmtId="0" fontId="0" fillId="0" borderId="0" xfId="0" applyFill="1"/>
    <xf numFmtId="0" fontId="13" fillId="0" borderId="0" xfId="4" applyFont="1" applyFill="1" applyAlignment="1">
      <alignment horizontal="center" vertical="center"/>
    </xf>
    <xf numFmtId="0" fontId="15" fillId="0" borderId="0" xfId="12" applyFont="1" applyAlignment="1">
      <alignment horizontal="center" vertical="center"/>
    </xf>
    <xf numFmtId="164" fontId="14" fillId="3" borderId="3" xfId="10" applyFont="1" applyFill="1" applyAlignment="1">
      <alignment horizontal="right" vertical="center" indent="1"/>
    </xf>
    <xf numFmtId="7" fontId="9" fillId="4" borderId="6" xfId="15" applyFont="1" applyFill="1" applyBorder="1" applyAlignment="1">
      <alignment horizontal="right" vertical="center" indent="1"/>
    </xf>
    <xf numFmtId="0" fontId="10" fillId="0" borderId="5" xfId="0" applyFont="1" applyFill="1" applyBorder="1" applyAlignment="1">
      <alignment vertical="center"/>
    </xf>
    <xf numFmtId="7" fontId="10" fillId="0" borderId="5" xfId="0" applyNumberFormat="1" applyFont="1" applyFill="1" applyBorder="1" applyAlignment="1">
      <alignment vertical="center"/>
    </xf>
    <xf numFmtId="0" fontId="12" fillId="0" borderId="0" xfId="3" applyFont="1" applyAlignment="1">
      <alignment horizontal="right"/>
    </xf>
    <xf numFmtId="0" fontId="0" fillId="0" borderId="0" xfId="0" applyAlignment="1"/>
    <xf numFmtId="0" fontId="11" fillId="0" borderId="0" xfId="2" applyFont="1" applyAlignment="1">
      <alignment horizontal="right" wrapText="1"/>
    </xf>
    <xf numFmtId="14" fontId="6" fillId="0" borderId="0" xfId="13" applyAlignment="1">
      <alignment horizontal="left"/>
    </xf>
    <xf numFmtId="0" fontId="6" fillId="0" borderId="1" xfId="11" applyAlignment="1">
      <alignment horizontal="left" wrapText="1"/>
    </xf>
    <xf numFmtId="0" fontId="6" fillId="0" borderId="1" xfId="11">
      <alignment horizontal="left" vertical="center" wrapText="1"/>
    </xf>
  </cellXfs>
  <cellStyles count="18">
    <cellStyle name="Advances" xfId="16" xr:uid="{00000000-0005-0000-0000-000000000000}"/>
    <cellStyle name="Comma" xfId="5" builtinId="3" customBuiltin="1"/>
    <cellStyle name="Comma [0]" xfId="6" builtinId="6" customBuiltin="1"/>
    <cellStyle name="Currency" xfId="7" builtinId="4" customBuiltin="1"/>
    <cellStyle name="Currency [0]" xfId="8" builtinId="7" customBuiltin="1"/>
    <cellStyle name="Date" xfId="13" xr:uid="{00000000-0005-0000-0000-000005000000}"/>
    <cellStyle name="Header Row" xfId="12" xr:uid="{00000000-0005-0000-0000-000006000000}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Label Text" xfId="11" xr:uid="{00000000-0005-0000-0000-00000B000000}"/>
    <cellStyle name="Normal" xfId="0" builtinId="0" customBuiltin="1"/>
    <cellStyle name="Percent" xfId="9" builtinId="5" customBuiltin="1"/>
    <cellStyle name="Subtotal" xfId="15" xr:uid="{00000000-0005-0000-0000-00000E000000}"/>
    <cellStyle name="Table Text" xfId="14" xr:uid="{00000000-0005-0000-0000-00000F000000}"/>
    <cellStyle name="Title" xfId="17" builtinId="15" customBuiltin="1"/>
    <cellStyle name="Total" xfId="10" builtinId="25" customBuiltin="1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Franklin Gothic Book"/>
        <family val="2"/>
        <scheme val="minor"/>
      </font>
      <numFmt numFmtId="11" formatCode="&quot;$&quot;#,##0.00_);\(&quot;$&quot;#,##0.0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Franklin Gothic Book"/>
        <family val="2"/>
        <scheme val="minor"/>
      </font>
      <numFmt numFmtId="11" formatCode="&quot;$&quot;#,##0.00_);\(&quot;$&quot;#,##0.0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Franklin Gothic Book"/>
        <family val="2"/>
        <scheme val="minor"/>
      </font>
      <numFmt numFmtId="11" formatCode="&quot;$&quot;#,##0.00_);\(&quot;$&quot;#,##0.0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Franklin Gothic Book"/>
        <family val="2"/>
        <scheme val="minor"/>
      </font>
      <numFmt numFmtId="11" formatCode="&quot;$&quot;#,##0.00_);\(&quot;$&quot;#,##0.0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Franklin Gothic Book"/>
        <family val="2"/>
        <scheme val="minor"/>
      </font>
      <numFmt numFmtId="11" formatCode="&quot;$&quot;#,##0.00_);\(&quot;$&quot;#,##0.0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Franklin Gothic Book"/>
        <family val="2"/>
        <scheme val="minor"/>
      </font>
      <numFmt numFmtId="11" formatCode="&quot;$&quot;#,##0.00_);\(&quot;$&quot;#,##0.0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Franklin Gothic Book"/>
        <family val="2"/>
        <scheme val="minor"/>
      </font>
      <numFmt numFmtId="11" formatCode="&quot;$&quot;#,##0.00_);\(&quot;$&quot;#,##0.0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Franklin Gothic Book"/>
        <family val="2"/>
        <scheme val="minor"/>
      </font>
      <numFmt numFmtId="11" formatCode="&quot;$&quot;#,##0.00_);\(&quot;$&quot;#,##0.0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Franklin Gothic Book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Franklin Gothic Book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Franklin Gothic Book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3"/>
        <name val="Franklin Gothic Book"/>
        <family val="2"/>
        <scheme val="minor"/>
      </font>
    </dxf>
    <dxf>
      <alignment horizontal="general" vertical="bottom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 tint="0.24994659260841701"/>
        <name val="Constantia"/>
        <family val="1"/>
        <scheme val="major"/>
      </font>
      <alignment horizontal="center" vertical="center" textRotation="0" wrapText="0" indent="0" justifyLastLine="0" shrinkToFit="0" readingOrder="0"/>
    </dxf>
    <dxf>
      <fill>
        <patternFill>
          <bgColor theme="0" tint="-4.9989318521683403E-2"/>
        </patternFill>
      </fill>
    </dxf>
    <dxf>
      <font>
        <b/>
        <i val="0"/>
        <strike val="0"/>
        <color theme="0"/>
      </font>
      <fill>
        <gradientFill degree="90">
          <stop position="0">
            <color theme="3"/>
          </stop>
          <stop position="1">
            <color theme="3"/>
          </stop>
        </gradientFill>
      </fill>
      <border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 style="thin">
          <color theme="5" tint="0.59996337778862885"/>
        </vertical>
        <horizontal style="thin">
          <color theme="3"/>
        </horizontal>
      </border>
    </dxf>
    <dxf>
      <border>
        <left style="thin">
          <color theme="3"/>
        </left>
        <right style="thin">
          <color theme="3"/>
        </right>
        <top style="thick">
          <color theme="3"/>
        </top>
        <bottom style="thick">
          <color theme="3"/>
        </bottom>
        <vertical style="thin">
          <color theme="6" tint="0.59996337778862885"/>
        </vertical>
        <horizontal style="thin">
          <color theme="6" tint="0.59996337778862885"/>
        </horizontal>
      </border>
    </dxf>
  </dxfs>
  <tableStyles count="2" defaultTableStyle="TableStyleMedium2" defaultPivotStyle="PivotStyleLight16">
    <tableStyle name="Business Table" pivot="0" count="3" xr9:uid="{00000000-0011-0000-FFFF-FFFF00000000}">
      <tableStyleElement type="wholeTable" dxfId="16"/>
      <tableStyleElement type="headerRow" dxfId="15"/>
      <tableStyleElement type="secondRowStripe" dxfId="14"/>
    </tableStyle>
    <tableStyle name="Invisible" pivot="0" table="0" count="0" xr9:uid="{E841CBAE-4A7A-4041-8C5D-2C79658E93CF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109</xdr:rowOff>
    </xdr:from>
    <xdr:to>
      <xdr:col>11</xdr:col>
      <xdr:colOff>1049867</xdr:colOff>
      <xdr:row>0</xdr:row>
      <xdr:rowOff>1465746</xdr:rowOff>
    </xdr:to>
    <xdr:pic>
      <xdr:nvPicPr>
        <xdr:cNvPr id="4" name="Picture 3" descr="Decorative element">
          <a:extLst>
            <a:ext uri="{FF2B5EF4-FFF2-40B4-BE49-F238E27FC236}">
              <a16:creationId xmlns:a16="http://schemas.microsoft.com/office/drawing/2014/main" id="{176D453D-B275-4B67-8513-9119E05DAF2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7800" y="109"/>
          <a:ext cx="12801600" cy="1465637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0</xdr:row>
      <xdr:rowOff>0</xdr:rowOff>
    </xdr:from>
    <xdr:to>
      <xdr:col>12</xdr:col>
      <xdr:colOff>0</xdr:colOff>
      <xdr:row>0</xdr:row>
      <xdr:rowOff>530679</xdr:rowOff>
    </xdr:to>
    <xdr:sp macro="" textlink="">
      <xdr:nvSpPr>
        <xdr:cNvPr id="5" name="TextBox 4" descr="For Office Use Only">
          <a:extLst>
            <a:ext uri="{FF2B5EF4-FFF2-40B4-BE49-F238E27FC236}">
              <a16:creationId xmlns:a16="http://schemas.microsoft.com/office/drawing/2014/main" id="{1325645F-D335-41E2-BA58-3124C8D31FBF}"/>
            </a:ext>
          </a:extLst>
        </xdr:cNvPr>
        <xdr:cNvSpPr txBox="1"/>
      </xdr:nvSpPr>
      <xdr:spPr>
        <a:xfrm>
          <a:off x="10599964" y="0"/>
          <a:ext cx="2177143" cy="53067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tIns="144000" rIns="144000" rtlCol="0" anchor="t"/>
        <a:lstStyle/>
        <a:p>
          <a:pPr algn="r"/>
          <a:r>
            <a:rPr lang="en-GB" sz="1100" b="0">
              <a:solidFill>
                <a:schemeClr val="bg1"/>
              </a:solidFill>
            </a:rPr>
            <a:t>For Office Use Only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5</xdr:col>
      <xdr:colOff>0</xdr:colOff>
      <xdr:row>1</xdr:row>
      <xdr:rowOff>0</xdr:rowOff>
    </xdr:to>
    <xdr:sp macro="" textlink="">
      <xdr:nvSpPr>
        <xdr:cNvPr id="6" name="TextBox 5" descr="Title&#10;">
          <a:extLst>
            <a:ext uri="{FF2B5EF4-FFF2-40B4-BE49-F238E27FC236}">
              <a16:creationId xmlns:a16="http://schemas.microsoft.com/office/drawing/2014/main" id="{A11B9180-B5B4-463D-937A-DBA7D4571D79}"/>
            </a:ext>
          </a:extLst>
        </xdr:cNvPr>
        <xdr:cNvSpPr txBox="1"/>
      </xdr:nvSpPr>
      <xdr:spPr>
        <a:xfrm>
          <a:off x="176893" y="0"/>
          <a:ext cx="4803321" cy="148317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216000" tIns="144000" rIns="144000" bIns="288000" rtlCol="0" anchor="b" anchorCtr="0"/>
        <a:lstStyle/>
        <a:p>
          <a:r>
            <a:rPr lang="en-GB" sz="3200">
              <a:solidFill>
                <a:schemeClr val="bg1"/>
              </a:solidFill>
              <a:effectLst/>
              <a:latin typeface="+mj-lt"/>
              <a:ea typeface="+mn-ea"/>
              <a:cs typeface="+mn-cs"/>
            </a:rPr>
            <a:t>Expense Report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ExpenseData" displayName="ExpenseData" ref="B8:L20" totalsRowCount="1" headerRowDxfId="13" dataDxfId="12" totalsRowDxfId="11" headerRowCellStyle="Header Row">
  <autoFilter ref="B8:L19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00000000-0010-0000-0000-000001000000}" name="Date" totalsRowLabel="Total" totalsRowDxfId="10" dataCellStyle="Date"/>
    <tableColumn id="2" xr3:uid="{00000000-0010-0000-0000-000002000000}" name="Account" totalsRowDxfId="9" dataCellStyle="Table Text"/>
    <tableColumn id="3" xr3:uid="{00000000-0010-0000-0000-000003000000}" name="Description" totalsRowDxfId="8" dataCellStyle="Table Text"/>
    <tableColumn id="4" xr3:uid="{00000000-0010-0000-0000-000004000000}" name="Hotel" totalsRowFunction="sum" totalsRowDxfId="7" dataCellStyle="Table Text"/>
    <tableColumn id="5" xr3:uid="{00000000-0010-0000-0000-000005000000}" name="Transport" totalsRowFunction="sum" totalsRowDxfId="6" dataCellStyle="Currency"/>
    <tableColumn id="6" xr3:uid="{00000000-0010-0000-0000-000006000000}" name="Fuel" totalsRowFunction="sum" totalsRowDxfId="5" dataCellStyle="Currency"/>
    <tableColumn id="7" xr3:uid="{00000000-0010-0000-0000-000007000000}" name="Meals" totalsRowFunction="sum" totalsRowDxfId="4" dataCellStyle="Currency"/>
    <tableColumn id="8" xr3:uid="{00000000-0010-0000-0000-000008000000}" name="Phone" totalsRowFunction="sum" totalsRowDxfId="3" dataCellStyle="Currency"/>
    <tableColumn id="10" xr3:uid="{00000000-0010-0000-0000-00000A000000}" name="Entertainment" totalsRowFunction="sum" totalsRowDxfId="2" dataCellStyle="Currency"/>
    <tableColumn id="11" xr3:uid="{00000000-0010-0000-0000-00000B000000}" name="Misc." totalsRowFunction="sum" totalsRowDxfId="1" dataCellStyle="Currency"/>
    <tableColumn id="12" xr3:uid="{00000000-0010-0000-0000-00000C000000}" name="Total" totalsRowFunction="sum" totalsRowDxfId="0" dataCellStyle="Currency">
      <calculatedColumnFormula>SUM(ExpenseData[[#This Row],[Hotel]:[Misc.]])</calculatedColumnFormula>
    </tableColumn>
  </tableColumns>
  <tableStyleInfo name="Business Table" showFirstColumn="0" showLastColumn="0" showRowStripes="1" showColumnStripes="0"/>
  <extLst>
    <ext xmlns:x14="http://schemas.microsoft.com/office/spreadsheetml/2009/9/main" uri="{504A1905-F514-4f6f-8877-14C23A59335A}">
      <x14:table altTextSummary="Enter expenses by date, account with description, &amp; various expenses by category in this table to calculate the total expenses incurred by employee"/>
    </ext>
  </extLst>
</table>
</file>

<file path=xl/theme/theme1.xml><?xml version="1.0" encoding="utf-8"?>
<a:theme xmlns:a="http://schemas.openxmlformats.org/drawingml/2006/main" name="Business">
  <a:themeElements>
    <a:clrScheme name="BUS_Activity Based Cost Tracke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F7F5E6"/>
      </a:accent1>
      <a:accent2>
        <a:srgbClr val="333A56"/>
      </a:accent2>
      <a:accent3>
        <a:srgbClr val="52658F"/>
      </a:accent3>
      <a:accent4>
        <a:srgbClr val="E8E8E8"/>
      </a:accent4>
      <a:accent5>
        <a:srgbClr val="000000"/>
      </a:accent5>
      <a:accent6>
        <a:srgbClr val="8A8A8A"/>
      </a:accent6>
      <a:hlink>
        <a:srgbClr val="0096D2"/>
      </a:hlink>
      <a:folHlink>
        <a:srgbClr val="00578B"/>
      </a:folHlink>
    </a:clrScheme>
    <a:fontScheme name="BUS_Activity Based Cost Tracker">
      <a:majorFont>
        <a:latin typeface="Constantia"/>
        <a:ea typeface=""/>
        <a:cs typeface=""/>
      </a:majorFont>
      <a:minorFont>
        <a:latin typeface="Franklin Gothic Book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67000"/>
                <a:satMod val="105000"/>
                <a:lumMod val="110000"/>
              </a:schemeClr>
            </a:gs>
            <a:gs pos="50000">
              <a:schemeClr val="phClr">
                <a:tint val="73000"/>
                <a:satMod val="103000"/>
                <a:lumMod val="105000"/>
              </a:schemeClr>
            </a:gs>
            <a:gs pos="100000">
              <a:schemeClr val="phClr">
                <a:tint val="81000"/>
                <a:satMod val="109000"/>
                <a:lumMod val="105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4000"/>
                <a:satMod val="103000"/>
                <a:lumMod val="102000"/>
              </a:schemeClr>
            </a:gs>
            <a:gs pos="50000">
              <a:schemeClr val="phClr">
                <a:shade val="100000"/>
                <a:satMod val="110000"/>
                <a:lumMod val="100000"/>
              </a:schemeClr>
            </a:gs>
            <a:gs pos="100000">
              <a:schemeClr val="phClr">
                <a:shade val="78000"/>
                <a:satMod val="120000"/>
                <a:lumMod val="99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Dark" id="{D39323B7-B2D6-4C10-818B-A5CD4ACE85BD}" vid="{15FD9199-0511-4D87-8BFB-2FF3F0C5B55D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4"/>
    <pageSetUpPr autoPageBreaks="0" fitToPage="1"/>
  </sheetPr>
  <dimension ref="B1:L23"/>
  <sheetViews>
    <sheetView showGridLines="0" tabSelected="1" zoomScale="90" zoomScaleNormal="90" workbookViewId="0"/>
  </sheetViews>
  <sheetFormatPr defaultRowHeight="30" customHeight="1" x14ac:dyDescent="0.3"/>
  <cols>
    <col min="1" max="1" width="2.109375" customWidth="1"/>
    <col min="2" max="2" width="14.77734375" customWidth="1"/>
    <col min="3" max="3" width="12.77734375" customWidth="1"/>
    <col min="4" max="4" width="15.77734375" customWidth="1"/>
    <col min="5" max="5" width="18.77734375" customWidth="1"/>
    <col min="6" max="9" width="12.6640625" customWidth="1"/>
    <col min="10" max="10" width="14.77734375" customWidth="1"/>
    <col min="11" max="12" width="12.6640625" customWidth="1"/>
    <col min="13" max="13" width="2.77734375" customWidth="1"/>
  </cols>
  <sheetData>
    <row r="1" spans="2:12" ht="117" customHeight="1" x14ac:dyDescent="0.3">
      <c r="B1" s="11"/>
      <c r="C1" s="12"/>
      <c r="D1" s="12"/>
      <c r="E1" s="12"/>
      <c r="F1" s="12"/>
      <c r="G1" s="12"/>
      <c r="H1" s="12"/>
      <c r="I1" s="12"/>
      <c r="J1" s="12"/>
      <c r="K1" s="12"/>
      <c r="L1" s="13"/>
    </row>
    <row r="2" spans="2:12" ht="21" customHeight="1" x14ac:dyDescent="0.3">
      <c r="B2" s="11"/>
      <c r="C2" s="12"/>
      <c r="D2" s="12"/>
      <c r="E2" s="12"/>
      <c r="F2" s="12"/>
      <c r="G2" s="12"/>
      <c r="H2" s="12"/>
      <c r="I2" s="12"/>
      <c r="J2" s="12"/>
      <c r="K2" s="12"/>
      <c r="L2" s="13"/>
    </row>
    <row r="3" spans="2:12" s="20" customFormat="1" ht="30" customHeight="1" x14ac:dyDescent="0.3">
      <c r="B3" s="21" t="s">
        <v>17</v>
      </c>
      <c r="C3" s="23"/>
      <c r="D3" s="23"/>
      <c r="E3" s="21" t="s">
        <v>18</v>
      </c>
      <c r="F3" s="23"/>
      <c r="G3" s="23"/>
      <c r="H3" s="21" t="s">
        <v>19</v>
      </c>
      <c r="I3" s="19" t="s">
        <v>20</v>
      </c>
      <c r="J3" s="22" t="str">
        <f>IF(COUNTA(ExpenseData[Date])=0,"",MIN(ExpenseData[Date]))</f>
        <v/>
      </c>
      <c r="K3" s="19" t="s">
        <v>21</v>
      </c>
      <c r="L3" s="22" t="str">
        <f>IF(COUNTA(ExpenseData[Date])=0,"",MAX(ExpenseData[Date]))</f>
        <v/>
      </c>
    </row>
    <row r="4" spans="2:12" ht="30" customHeight="1" x14ac:dyDescent="0.3">
      <c r="B4" s="8" t="s">
        <v>16</v>
      </c>
    </row>
    <row r="5" spans="2:12" s="20" customFormat="1" ht="30" customHeight="1" x14ac:dyDescent="0.3">
      <c r="B5" s="19" t="s">
        <v>15</v>
      </c>
      <c r="C5" s="23"/>
      <c r="D5" s="23"/>
      <c r="F5" s="19" t="s">
        <v>24</v>
      </c>
      <c r="G5" s="23"/>
      <c r="H5" s="23"/>
      <c r="J5" s="19" t="s">
        <v>11</v>
      </c>
      <c r="K5" s="23"/>
      <c r="L5" s="23"/>
    </row>
    <row r="6" spans="2:12" s="20" customFormat="1" ht="30" customHeight="1" x14ac:dyDescent="0.3">
      <c r="B6" s="19" t="s">
        <v>22</v>
      </c>
      <c r="C6" s="23"/>
      <c r="D6" s="23"/>
      <c r="F6" s="19" t="s">
        <v>23</v>
      </c>
      <c r="G6" s="23"/>
      <c r="H6" s="23"/>
      <c r="J6" s="19" t="s">
        <v>25</v>
      </c>
      <c r="K6" s="23"/>
      <c r="L6" s="23"/>
    </row>
    <row r="7" spans="2:12" ht="15" customHeight="1" x14ac:dyDescent="0.3"/>
    <row r="8" spans="2:12" ht="32.25" customHeight="1" x14ac:dyDescent="0.3">
      <c r="B8" s="14" t="s">
        <v>0</v>
      </c>
      <c r="C8" s="14" t="s">
        <v>1</v>
      </c>
      <c r="D8" s="14" t="s">
        <v>2</v>
      </c>
      <c r="E8" s="14" t="s">
        <v>3</v>
      </c>
      <c r="F8" s="14" t="s">
        <v>4</v>
      </c>
      <c r="G8" s="14" t="s">
        <v>5</v>
      </c>
      <c r="H8" s="14" t="s">
        <v>6</v>
      </c>
      <c r="I8" s="14" t="s">
        <v>7</v>
      </c>
      <c r="J8" s="14" t="s">
        <v>8</v>
      </c>
      <c r="K8" s="14" t="s">
        <v>9</v>
      </c>
      <c r="L8" s="14" t="s">
        <v>10</v>
      </c>
    </row>
    <row r="9" spans="2:12" ht="30" customHeight="1" x14ac:dyDescent="0.3">
      <c r="B9" s="4"/>
      <c r="C9" s="5"/>
      <c r="D9" s="5"/>
      <c r="E9" s="5"/>
      <c r="F9" s="6"/>
      <c r="G9" s="6"/>
      <c r="H9" s="6"/>
      <c r="I9" s="6"/>
      <c r="J9" s="6"/>
      <c r="K9" s="6"/>
      <c r="L9" s="6">
        <f>SUM(ExpenseData[[#This Row],[Hotel]:[Misc.]])</f>
        <v>0</v>
      </c>
    </row>
    <row r="10" spans="2:12" ht="30" customHeight="1" x14ac:dyDescent="0.3">
      <c r="B10" s="4"/>
      <c r="C10" s="5"/>
      <c r="D10" s="5"/>
      <c r="E10" s="5"/>
      <c r="F10" s="6"/>
      <c r="G10" s="6"/>
      <c r="H10" s="6"/>
      <c r="I10" s="6"/>
      <c r="J10" s="6"/>
      <c r="K10" s="6"/>
      <c r="L10" s="6">
        <f>SUM(ExpenseData[[#This Row],[Hotel]:[Misc.]])</f>
        <v>0</v>
      </c>
    </row>
    <row r="11" spans="2:12" ht="30" customHeight="1" x14ac:dyDescent="0.3">
      <c r="B11" s="4"/>
      <c r="C11" s="5"/>
      <c r="D11" s="5"/>
      <c r="E11" s="5"/>
      <c r="F11" s="6"/>
      <c r="G11" s="6"/>
      <c r="H11" s="6"/>
      <c r="I11" s="6"/>
      <c r="J11" s="6"/>
      <c r="K11" s="6"/>
      <c r="L11" s="6">
        <f>SUM(ExpenseData[[#This Row],[Hotel]:[Misc.]])</f>
        <v>0</v>
      </c>
    </row>
    <row r="12" spans="2:12" ht="30" customHeight="1" x14ac:dyDescent="0.3">
      <c r="B12" s="4"/>
      <c r="C12" s="5"/>
      <c r="D12" s="5"/>
      <c r="E12" s="5"/>
      <c r="F12" s="6"/>
      <c r="G12" s="6"/>
      <c r="H12" s="6"/>
      <c r="I12" s="6"/>
      <c r="J12" s="6"/>
      <c r="K12" s="6"/>
      <c r="L12" s="6">
        <f>SUM(ExpenseData[[#This Row],[Hotel]:[Misc.]])</f>
        <v>0</v>
      </c>
    </row>
    <row r="13" spans="2:12" ht="30" customHeight="1" x14ac:dyDescent="0.3">
      <c r="B13" s="4"/>
      <c r="C13" s="5"/>
      <c r="D13" s="5"/>
      <c r="E13" s="5"/>
      <c r="F13" s="6"/>
      <c r="G13" s="6"/>
      <c r="H13" s="6"/>
      <c r="I13" s="6"/>
      <c r="J13" s="6"/>
      <c r="K13" s="6"/>
      <c r="L13" s="6">
        <f>SUM(ExpenseData[[#This Row],[Hotel]:[Misc.]])</f>
        <v>0</v>
      </c>
    </row>
    <row r="14" spans="2:12" ht="30" customHeight="1" x14ac:dyDescent="0.3">
      <c r="B14" s="4"/>
      <c r="C14" s="5"/>
      <c r="D14" s="5"/>
      <c r="E14" s="5"/>
      <c r="F14" s="6"/>
      <c r="G14" s="6"/>
      <c r="H14" s="6"/>
      <c r="I14" s="6"/>
      <c r="J14" s="6"/>
      <c r="K14" s="6"/>
      <c r="L14" s="6">
        <f>SUM(ExpenseData[[#This Row],[Hotel]:[Misc.]])</f>
        <v>0</v>
      </c>
    </row>
    <row r="15" spans="2:12" ht="30" customHeight="1" x14ac:dyDescent="0.3">
      <c r="B15" s="4"/>
      <c r="C15" s="5"/>
      <c r="D15" s="5"/>
      <c r="E15" s="5"/>
      <c r="F15" s="6"/>
      <c r="G15" s="6"/>
      <c r="H15" s="6"/>
      <c r="I15" s="6"/>
      <c r="J15" s="6"/>
      <c r="K15" s="6"/>
      <c r="L15" s="6">
        <f>SUM(ExpenseData[[#This Row],[Hotel]:[Misc.]])</f>
        <v>0</v>
      </c>
    </row>
    <row r="16" spans="2:12" ht="30" customHeight="1" x14ac:dyDescent="0.3">
      <c r="B16" s="4"/>
      <c r="C16" s="5"/>
      <c r="D16" s="5"/>
      <c r="E16" s="5"/>
      <c r="F16" s="6"/>
      <c r="G16" s="6"/>
      <c r="H16" s="6"/>
      <c r="I16" s="6"/>
      <c r="J16" s="6"/>
      <c r="K16" s="6"/>
      <c r="L16" s="6">
        <f>SUM(ExpenseData[[#This Row],[Hotel]:[Misc.]])</f>
        <v>0</v>
      </c>
    </row>
    <row r="17" spans="2:12" ht="30" customHeight="1" x14ac:dyDescent="0.3">
      <c r="B17" s="4"/>
      <c r="C17" s="5"/>
      <c r="D17" s="5"/>
      <c r="E17" s="5"/>
      <c r="F17" s="6"/>
      <c r="G17" s="6"/>
      <c r="H17" s="6"/>
      <c r="I17" s="6"/>
      <c r="J17" s="6"/>
      <c r="K17" s="6"/>
      <c r="L17" s="6">
        <f>SUM(ExpenseData[[#This Row],[Hotel]:[Misc.]])</f>
        <v>0</v>
      </c>
    </row>
    <row r="18" spans="2:12" ht="30" customHeight="1" x14ac:dyDescent="0.3">
      <c r="B18" s="4"/>
      <c r="C18" s="5"/>
      <c r="D18" s="5"/>
      <c r="E18" s="5"/>
      <c r="F18" s="6"/>
      <c r="G18" s="6"/>
      <c r="H18" s="6"/>
      <c r="I18" s="6"/>
      <c r="J18" s="6"/>
      <c r="K18" s="6"/>
      <c r="L18" s="6">
        <f>SUM(ExpenseData[[#This Row],[Hotel]:[Misc.]])</f>
        <v>0</v>
      </c>
    </row>
    <row r="19" spans="2:12" ht="30" customHeight="1" x14ac:dyDescent="0.3">
      <c r="B19" s="4"/>
      <c r="C19" s="5"/>
      <c r="D19" s="5"/>
      <c r="E19" s="5"/>
      <c r="F19" s="6"/>
      <c r="G19" s="6"/>
      <c r="H19" s="6"/>
      <c r="I19" s="6"/>
      <c r="J19" s="6"/>
      <c r="K19" s="6"/>
      <c r="L19" s="6">
        <f>SUM(ExpenseData[[#This Row],[Hotel]:[Misc.]])</f>
        <v>0</v>
      </c>
    </row>
    <row r="20" spans="2:12" ht="30" customHeight="1" thickBot="1" x14ac:dyDescent="0.35">
      <c r="B20" s="17" t="s">
        <v>10</v>
      </c>
      <c r="C20" s="17"/>
      <c r="D20" s="17"/>
      <c r="E20" s="18">
        <f>SUBTOTAL(109,ExpenseData[Hotel])</f>
        <v>0</v>
      </c>
      <c r="F20" s="18">
        <f>SUBTOTAL(109,ExpenseData[Transport])</f>
        <v>0</v>
      </c>
      <c r="G20" s="18">
        <f>SUBTOTAL(109,ExpenseData[Fuel])</f>
        <v>0</v>
      </c>
      <c r="H20" s="18">
        <f>SUBTOTAL(109,ExpenseData[Meals])</f>
        <v>0</v>
      </c>
      <c r="I20" s="18">
        <f>SUBTOTAL(109,ExpenseData[Phone])</f>
        <v>0</v>
      </c>
      <c r="J20" s="18">
        <f>SUBTOTAL(109,ExpenseData[Entertainment])</f>
        <v>0</v>
      </c>
      <c r="K20" s="18">
        <f>SUBTOTAL(109,ExpenseData[Misc.])</f>
        <v>0</v>
      </c>
      <c r="L20" s="18">
        <f>SUBTOTAL(109,ExpenseData[Total])</f>
        <v>0</v>
      </c>
    </row>
    <row r="21" spans="2:12" ht="30" customHeight="1" x14ac:dyDescent="0.3">
      <c r="C21" s="1"/>
      <c r="D21" s="1"/>
      <c r="E21" s="1"/>
      <c r="F21" s="1"/>
      <c r="G21" s="1"/>
      <c r="H21" s="1"/>
      <c r="I21" s="1"/>
      <c r="K21" s="3" t="s">
        <v>12</v>
      </c>
      <c r="L21" s="16">
        <f>ExpenseData[[#Totals],[Total]]</f>
        <v>0</v>
      </c>
    </row>
    <row r="22" spans="2:12" ht="30" customHeight="1" thickBot="1" x14ac:dyDescent="0.35">
      <c r="B22" s="9" t="s">
        <v>26</v>
      </c>
      <c r="C22" s="24"/>
      <c r="D22" s="24"/>
      <c r="E22" s="24"/>
      <c r="F22" s="10" t="s">
        <v>27</v>
      </c>
      <c r="G22" s="24"/>
      <c r="H22" s="24"/>
      <c r="I22" s="24"/>
      <c r="K22" s="3" t="s">
        <v>13</v>
      </c>
      <c r="L22" s="7">
        <v>0</v>
      </c>
    </row>
    <row r="23" spans="2:12" ht="30" customHeight="1" thickTop="1" x14ac:dyDescent="0.3">
      <c r="C23" s="24"/>
      <c r="D23" s="24"/>
      <c r="E23" s="24"/>
      <c r="F23" s="2"/>
      <c r="G23" s="24"/>
      <c r="H23" s="24"/>
      <c r="I23" s="24"/>
      <c r="K23" s="3" t="s">
        <v>14</v>
      </c>
      <c r="L23" s="15">
        <f>Subtotal-Advances</f>
        <v>0</v>
      </c>
    </row>
  </sheetData>
  <mergeCells count="12">
    <mergeCell ref="C22:E22"/>
    <mergeCell ref="C23:E23"/>
    <mergeCell ref="G22:I22"/>
    <mergeCell ref="G23:I23"/>
    <mergeCell ref="C6:D6"/>
    <mergeCell ref="C3:D3"/>
    <mergeCell ref="C5:D5"/>
    <mergeCell ref="K6:L6"/>
    <mergeCell ref="K5:L5"/>
    <mergeCell ref="G6:H6"/>
    <mergeCell ref="G5:H5"/>
    <mergeCell ref="F3:G3"/>
  </mergeCells>
  <dataValidations count="44">
    <dataValidation allowBlank="1" showInputMessage="1" showErrorMessage="1" prompt="Track expenses in this Expense Report worksheet. Enter values in various expense categories in cells B2 to K5 and in Expense Data table." sqref="A1" xr:uid="{00000000-0002-0000-0000-000000000000}"/>
    <dataValidation allowBlank="1" showInputMessage="1" showErrorMessage="1" prompt="The report is for the office use only" sqref="L2" xr:uid="{00000000-0002-0000-0000-000001000000}"/>
    <dataValidation allowBlank="1" showInputMessage="1" showErrorMessage="1" prompt="Expense Report title is in this cell" sqref="B1" xr:uid="{00000000-0002-0000-0000-000002000000}"/>
    <dataValidation allowBlank="1" showInputMessage="1" showErrorMessage="1" prompt="Enter purpose of expenses in cell at right" sqref="B3" xr:uid="{00000000-0002-0000-0000-000003000000}"/>
    <dataValidation allowBlank="1" showInputMessage="1" showErrorMessage="1" prompt="Enter statement number in cell at right" sqref="E3" xr:uid="{00000000-0002-0000-0000-000004000000}"/>
    <dataValidation allowBlank="1" showInputMessage="1" showErrorMessage="1" prompt="Enter employee information in the cells below" sqref="B4" xr:uid="{00000000-0002-0000-0000-000005000000}"/>
    <dataValidation allowBlank="1" showInputMessage="1" showErrorMessage="1" prompt="Enter employee’s name in this cell" sqref="C5:D5" xr:uid="{00000000-0002-0000-0000-000006000000}"/>
    <dataValidation allowBlank="1" showInputMessage="1" showErrorMessage="1" prompt="Enter employee’s department in this cell" sqref="C6:D6" xr:uid="{00000000-0002-0000-0000-000007000000}"/>
    <dataValidation allowBlank="1" showInputMessage="1" showErrorMessage="1" prompt="Enter employee’s position in this cell" sqref="G5:H5" xr:uid="{00000000-0002-0000-0000-000008000000}"/>
    <dataValidation allowBlank="1" showInputMessage="1" showErrorMessage="1" prompt="Enter manager’s name in this cell" sqref="G6:H6" xr:uid="{00000000-0002-0000-0000-000009000000}"/>
    <dataValidation allowBlank="1" showInputMessage="1" showErrorMessage="1" prompt="Enter Social Security Number in this cell" sqref="K5:L5" xr:uid="{00000000-0002-0000-0000-00000A000000}"/>
    <dataValidation allowBlank="1" showInputMessage="1" showErrorMessage="1" prompt="Enter Employee ID in this cell" sqref="K6:L6" xr:uid="{00000000-0002-0000-0000-00000B000000}"/>
    <dataValidation allowBlank="1" showInputMessage="1" showErrorMessage="1" prompt="Pay period is automatically updated based on entries in the Expense Data table" sqref="H3" xr:uid="{00000000-0002-0000-0000-00000C000000}"/>
    <dataValidation allowBlank="1" showInputMessage="1" showErrorMessage="1" prompt="The starting period for this expense report is in this cell and is automatically determined by the entries in the Expense Data table" sqref="J3" xr:uid="{00000000-0002-0000-0000-00000D000000}"/>
    <dataValidation allowBlank="1" showInputMessage="1" showErrorMessage="1" prompt="Enter Date in this column under this heading" sqref="B8" xr:uid="{00000000-0002-0000-0000-00000E000000}"/>
    <dataValidation allowBlank="1" showInputMessage="1" showErrorMessage="1" prompt="Enter Account in this column under this heading" sqref="C8" xr:uid="{00000000-0002-0000-0000-00000F000000}"/>
    <dataValidation allowBlank="1" showInputMessage="1" showErrorMessage="1" prompt="Enter Description in this column under this heading" sqref="D8" xr:uid="{00000000-0002-0000-0000-000010000000}"/>
    <dataValidation allowBlank="1" showInputMessage="1" showErrorMessage="1" prompt="Enter Hotel expenses in this column under this heading" sqref="E8" xr:uid="{00000000-0002-0000-0000-000011000000}"/>
    <dataValidation allowBlank="1" showInputMessage="1" showErrorMessage="1" prompt="Enter Transport expenses in this column under this heading" sqref="F8" xr:uid="{00000000-0002-0000-0000-000012000000}"/>
    <dataValidation allowBlank="1" showInputMessage="1" showErrorMessage="1" prompt="Enter Fuel expenses in this column under this heading" sqref="G8" xr:uid="{00000000-0002-0000-0000-000013000000}"/>
    <dataValidation allowBlank="1" showInputMessage="1" showErrorMessage="1" prompt="Enter Meal expenses in this column under this heading" sqref="H8" xr:uid="{00000000-0002-0000-0000-000014000000}"/>
    <dataValidation allowBlank="1" showInputMessage="1" showErrorMessage="1" prompt="Enter Phone expenses in this column under this heading" sqref="I8" xr:uid="{00000000-0002-0000-0000-000015000000}"/>
    <dataValidation allowBlank="1" showInputMessage="1" showErrorMessage="1" prompt="Enter Entertainment expenses in this column under this heading" sqref="J8" xr:uid="{00000000-0002-0000-0000-000016000000}"/>
    <dataValidation allowBlank="1" showInputMessage="1" showErrorMessage="1" prompt="Enter Miscellaneous expenses in this column under this heading" sqref="K8" xr:uid="{00000000-0002-0000-0000-000017000000}"/>
    <dataValidation allowBlank="1" showInputMessage="1" showErrorMessage="1" prompt="Total expenses are automatically calculated in this column under this heading for each date" sqref="L8" xr:uid="{00000000-0002-0000-0000-000018000000}"/>
    <dataValidation allowBlank="1" showInputMessage="1" showErrorMessage="1" prompt="Enter remarks in cells at right" sqref="B22" xr:uid="{00000000-0002-0000-0000-000019000000}"/>
    <dataValidation allowBlank="1" showInputMessage="1" showErrorMessage="1" prompt="Enter signature in this cell" sqref="C22:E23" xr:uid="{00000000-0002-0000-0000-00001A000000}"/>
    <dataValidation allowBlank="1" showInputMessage="1" showErrorMessage="1" prompt="Enter Notes in cells at right" sqref="F22" xr:uid="{00000000-0002-0000-0000-00001B000000}"/>
    <dataValidation allowBlank="1" showInputMessage="1" showErrorMessage="1" prompt="Enter Notes in this cell" sqref="G22:I23" xr:uid="{00000000-0002-0000-0000-00001C000000}"/>
    <dataValidation allowBlank="1" showInputMessage="1" showErrorMessage="1" prompt="Automatically calculated Subtotal" sqref="L21" xr:uid="{00000000-0002-0000-0000-00001D000000}"/>
    <dataValidation allowBlank="1" showInputMessage="1" showErrorMessage="1" prompt="Enter Advances in this cell" sqref="L22" xr:uid="{00000000-0002-0000-0000-00001E000000}"/>
    <dataValidation allowBlank="1" showInputMessage="1" showErrorMessage="1" prompt="Automatically calculated Total" sqref="L23" xr:uid="{00000000-0002-0000-0000-00001F000000}"/>
    <dataValidation allowBlank="1" showInputMessage="1" showErrorMessage="1" prompt="Enter employee's name in cell at right" sqref="B5" xr:uid="{00000000-0002-0000-0000-000020000000}"/>
    <dataValidation allowBlank="1" showInputMessage="1" showErrorMessage="1" prompt="Enter employee's department in cell at right" sqref="B6" xr:uid="{00000000-0002-0000-0000-000021000000}"/>
    <dataValidation allowBlank="1" showInputMessage="1" showErrorMessage="1" prompt="Enter employee's position in cell at right" sqref="F5" xr:uid="{00000000-0002-0000-0000-000022000000}"/>
    <dataValidation allowBlank="1" showInputMessage="1" showErrorMessage="1" prompt="Enter manager's name in cell at right" sqref="F6" xr:uid="{00000000-0002-0000-0000-000023000000}"/>
    <dataValidation allowBlank="1" showInputMessage="1" showErrorMessage="1" prompt="Enter Employee ID in cell at right" sqref="J6" xr:uid="{00000000-0002-0000-0000-000024000000}"/>
    <dataValidation allowBlank="1" showInputMessage="1" showErrorMessage="1" prompt="Enter social security number in cell at right" sqref="J5" xr:uid="{00000000-0002-0000-0000-000025000000}"/>
    <dataValidation allowBlank="1" showInputMessage="1" showErrorMessage="1" prompt="Enter purpose of expense report in this cell" sqref="C3:D3" xr:uid="{00000000-0002-0000-0000-000026000000}"/>
    <dataValidation allowBlank="1" showInputMessage="1" showErrorMessage="1" prompt="Enter statement number for expense report in this cell" sqref="F3:G3" xr:uid="{00000000-0002-0000-0000-000027000000}"/>
    <dataValidation allowBlank="1" showInputMessage="1" showErrorMessage="1" prompt="The ending period for this expense report is in this cell and is automatically determined by the entries in the Expense Data table" sqref="L3" xr:uid="{00000000-0002-0000-0000-000028000000}"/>
    <dataValidation allowBlank="1" showErrorMessage="1" prompt="The report is for the office use only" sqref="L1" xr:uid="{07C673D8-7C7E-49D0-9828-543179A7680F}"/>
    <dataValidation allowBlank="1" showInputMessage="1" showErrorMessage="1" prompt="Track expenses in this Expense Report worksheet. Enter values in various expense categories in cells B3 to K6 and in Expense Data table" sqref="A2" xr:uid="{34C429AD-6E17-4316-B5FF-3D8F76C07D50}"/>
    <dataValidation allowBlank="1" showErrorMessage="1" prompt="Expense Report title is in this cell" sqref="B2" xr:uid="{ACE8D43B-3270-4BB7-8BE0-B0137FB56C6F}"/>
  </dataValidations>
  <printOptions horizontalCentered="1"/>
  <pageMargins left="0.4" right="0.4" top="0.4" bottom="0.4" header="0.3" footer="0.3"/>
  <pageSetup scale="85" fitToHeight="0" orientation="landscape" horizontalDpi="4294967293" r:id="rId1"/>
  <headerFooter differentFirst="1">
    <oddFooter>Page &amp;P of &amp;N</oddFooter>
  </headerFooter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MediaServiceKeyPoints xmlns="71af3243-3dd4-4a8d-8c0d-dd76da1f02a5" xsi:nil="true"/>
    <Status xmlns="71af3243-3dd4-4a8d-8c0d-dd76da1f02a5">Not started</Status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12" ma:contentTypeDescription="Create a new document." ma:contentTypeScope="" ma:versionID="a754d229f0057affa62b555f2ac55d44">
  <xsd:schema xmlns:xsd="http://www.w3.org/2001/XMLSchema" xmlns:xs="http://www.w3.org/2001/XMLSchema" xmlns:p="http://schemas.microsoft.com/office/2006/metadata/properties" xmlns:ns2="71af3243-3dd4-4a8d-8c0d-dd76da1f02a5" xmlns:ns3="16c05727-aa75-4e4a-9b5f-8a80a1165891" targetNamespace="http://schemas.microsoft.com/office/2006/metadata/properties" ma:root="true" ma:fieldsID="c067517bd06b16cb9c9e315ad40fb255" ns2:_="" ns3:_="">
    <xsd:import namespace="71af3243-3dd4-4a8d-8c0d-dd76da1f02a5"/>
    <xsd:import namespace="16c05727-aa75-4e4a-9b5f-8a80a11658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Statu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fals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Status" ma:index="19" nillable="true" ma:displayName="Status" ma:default="Not started" ma:format="Dropdown" ma:internalName="Status">
      <xsd:simpleType>
        <xsd:restriction base="dms:Choice">
          <xsd:enumeration value="Not started"/>
          <xsd:enumeration value="In Progress"/>
          <xsd:enumeration value="Completed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D765DD3-C5A9-4E60-8819-7516E8229505}">
  <ds:schemaRefs>
    <ds:schemaRef ds:uri="http://schemas.microsoft.com/office/2006/metadata/properties"/>
    <ds:schemaRef ds:uri="http://schemas.microsoft.com/office/infopath/2007/PartnerControls"/>
    <ds:schemaRef ds:uri="71af3243-3dd4-4a8d-8c0d-dd76da1f02a5"/>
  </ds:schemaRefs>
</ds:datastoreItem>
</file>

<file path=customXml/itemProps2.xml><?xml version="1.0" encoding="utf-8"?>
<ds:datastoreItem xmlns:ds="http://schemas.openxmlformats.org/officeDocument/2006/customXml" ds:itemID="{53BF39ED-8412-4A1A-B8D1-D3BEBCC138C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DE98013-C38E-434E-83D3-C8EF2AA2CE6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1af3243-3dd4-4a8d-8c0d-dd76da1f02a5"/>
    <ds:schemaRef ds:uri="16c05727-aa75-4e4a-9b5f-8a80a11658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>TM66811421</Templat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EXPENSE REPORT</vt:lpstr>
      <vt:lpstr>Advances</vt:lpstr>
      <vt:lpstr>ColumnTitle1</vt:lpstr>
      <vt:lpstr>'EXPENSE REPORT'!Print_Titles</vt:lpstr>
      <vt:lpstr>Subtotal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2019-06-20T11:30:10Z</dcterms:created>
  <dcterms:modified xsi:type="dcterms:W3CDTF">2022-02-06T05:30:15Z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